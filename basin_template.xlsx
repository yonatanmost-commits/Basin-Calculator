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46" customWidth="1" min="4" max="4"/>
    <col width="22" customWidth="1" min="5" max="5"/>
    <col width="22" customWidth="1" min="6" max="6"/>
    <col width="28" customWidth="1" min="7" max="7"/>
  </cols>
  <sheetData>
    <row r="1" ht="28" customHeight="1">
      <c r="A1" s="1" t="inlineStr">
        <is>
          <t>BASIN CALCULATION REPORT</t>
        </is>
      </c>
    </row>
    <row r="2" ht="36" customHeight="1">
      <c r="A2" s="2" t="inlineStr">
        <is>
          <t>ID</t>
        </is>
      </c>
      <c r="B2" s="2" t="inlineStr">
        <is>
          <t>Name</t>
        </is>
      </c>
      <c r="C2" s="2" t="inlineStr">
        <is>
          <t>Type</t>
        </is>
      </c>
      <c r="D2" s="2" t="inlineStr">
        <is>
          <t>Raw Dimensions</t>
        </is>
      </c>
      <c r="E2" s="2" t="inlineStr">
        <is>
          <t>Footprint</t>
        </is>
      </c>
      <c r="F2" s="2" t="inlineStr">
        <is>
          <t>Water Volume (m3)</t>
        </is>
      </c>
      <c r="G2" s="2" t="inlineStr">
        <is>
          <t>Total Excavation Volume (m3)</t>
        </is>
      </c>
    </row>
    <row r="3">
      <c r="A3" t="inlineStr">
        <is>
          <t>B01</t>
        </is>
      </c>
      <c r="B3" t="inlineStr">
        <is>
          <t>Standard Frustum (Uniform Slope)</t>
        </is>
      </c>
      <c r="C3" t="inlineStr">
        <is>
          <t>frustum</t>
        </is>
      </c>
      <c r="D3" t="inlineStr">
        <is>
          <t>L=20.0, 19.8, 20.2 W=10.0 h=5.0 slope=1.0</t>
        </is>
      </c>
      <c r="E3" t="inlineStr">
        <is>
          <t>30.00 × 20.00 m</t>
        </is>
      </c>
      <c r="F3" t="n">
        <v>1464.18</v>
      </c>
      <c r="G3" t="n">
        <v>1910.684</v>
      </c>
    </row>
    <row r="4">
      <c r="A4" t="inlineStr">
        <is>
          <t>B01-Alt</t>
        </is>
      </c>
      <c r="B4" t="inlineStr">
        <is>
          <t>Special Frustum (Uneven Slopes Enabled)</t>
        </is>
      </c>
      <c r="C4" t="inlineStr">
        <is>
          <t>frustum</t>
        </is>
      </c>
      <c r="D4" t="inlineStr">
        <is>
          <t>L=20.0 W=10.0 h=5.0 slope=N0.0 S1.5 E1.0 W1.0</t>
        </is>
      </c>
      <c r="E4" t="inlineStr">
        <is>
          <t>30.00 × 17.50 m</t>
        </is>
      </c>
      <c r="F4" t="n">
        <v>1354.075</v>
      </c>
      <c r="G4" t="n">
        <v>1748.395</v>
      </c>
    </row>
    <row r="5">
      <c r="A5" t="inlineStr">
        <is>
          <t>B02</t>
        </is>
      </c>
      <c r="B5" t="inlineStr">
        <is>
          <t>Aeration Tank 1</t>
        </is>
      </c>
      <c r="C5" t="inlineStr">
        <is>
          <t>rectangular</t>
        </is>
      </c>
      <c r="D5" t="inlineStr">
        <is>
          <t>L=25.0 W=12.0, 12.2 h=5.0 tw=0.4 R=0.5</t>
        </is>
      </c>
      <c r="E5" t="inlineStr">
        <is>
          <t>25.80 × 12.90 m</t>
        </is>
      </c>
      <c r="F5" t="n">
        <v>1148.685</v>
      </c>
      <c r="G5" t="n">
        <v>1664.1</v>
      </c>
    </row>
    <row r="6">
      <c r="A6" t="inlineStr">
        <is>
          <t>B03</t>
        </is>
      </c>
      <c r="B6" t="inlineStr">
        <is>
          <t>Digester A</t>
        </is>
      </c>
      <c r="C6" t="inlineStr">
        <is>
          <t>circular</t>
        </is>
      </c>
      <c r="D6" t="inlineStr">
        <is>
          <t>D=15.0 h=6.0 tw=0.4</t>
        </is>
      </c>
      <c r="E6" t="inlineStr">
        <is>
          <t>Ø15.80 m</t>
        </is>
      </c>
      <c r="F6" t="n">
        <v>883.573</v>
      </c>
      <c r="G6" t="n">
        <v>1176.401</v>
      </c>
    </row>
    <row r="7">
      <c r="A7" t="inlineStr">
        <is>
          <t>TOTAL</t>
        </is>
      </c>
      <c r="B7" t="inlineStr"/>
      <c r="C7" t="inlineStr"/>
      <c r="D7" t="inlineStr"/>
      <c r="E7" t="inlineStr"/>
      <c r="F7">
        <f>SUM(F3:F6)</f>
        <v/>
      </c>
      <c r="G7">
        <f>SUM(G3:G6)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2026-05-25T04:16:18Z</dcterms:created>
  <dcterms:modified xsi:type="dcterms:W3CDTF">2026-05-25T04:16:53Z</dcterms:modified>
</cp:coreProperties>
</file>